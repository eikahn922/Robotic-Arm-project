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3d9c8fd70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 Summary" sheetId="1" r:id="R96d495e8a0814bfb"/>
    <x:sheet xmlns:r="http://schemas.openxmlformats.org/officeDocument/2006/relationships" name="Inputs &amp; Sources" sheetId="2" r:id="R9126b2b28fe2480d"/>
    <x:sheet xmlns:r="http://schemas.openxmlformats.org/officeDocument/2006/relationships" name="Torque Calculations" sheetId="3" r:id="R879d80c86f9a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.0000000"/>
    <x:numFmt numFmtId="202" formatCode="0"/>
    <x:numFmt numFmtId="203" formatCode="0.00000"/>
    <x:numFmt numFmtId="204" formatCode="0.000"/>
    <x:numFmt numFmtId="205" formatCode="0.0"/>
    <x:numFmt numFmtId="206" formatCode="0.00x"/>
    <x:numFmt numFmtId="207" formatCode="0.0%"/>
  </x:numFmts>
  <x:fonts count="7">
    <x:font>
      <x:sz val="11"/>
      <x:name val="Carlito"/>
    </x:font>
    <x:font>
      <x:b/>
      <x:sz val="17"/>
      <x:color rgb="FF202124"/>
      <x:name val="Carlito"/>
    </x:font>
    <x:font>
      <x:i/>
      <x:sz val="10"/>
      <x:color rgb="FF5F6368"/>
      <x:name val="Carlito"/>
    </x:font>
    <x:font>
      <x:b/>
      <x:sz val="11"/>
      <x:color rgb="FF202124"/>
      <x:name val="Carlito"/>
    </x:font>
    <x:font>
      <x:sz val="11"/>
      <x:color rgb="FF202124"/>
      <x:name val="Carlito"/>
    </x:font>
    <x:font>
      <x:sz val="10"/>
      <x:name val="Consolas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E8F0FE"/>
      </x:patternFill>
    </x:fill>
    <x:fill>
      <x:patternFill patternType="solid">
        <x:fgColor rgb="FFF8FAFD"/>
      </x:patternFill>
    </x:fill>
    <x:fill>
      <x:patternFill patternType="solid">
        <x:fgColor rgb="FFF1F3F4"/>
      </x:patternFill>
    </x:fill>
    <x:fill>
      <x:patternFill patternType="solid">
        <x:fgColor rgb="FFE5E7EB"/>
      </x:patternFill>
    </x:fill>
    <x:fill>
      <x:patternFill patternType="solid">
        <x:fgColor rgb="FFFFF7D6"/>
      </x:patternFill>
    </x:fill>
    <x:fill>
      <x:patternFill patternType="solid">
        <x:fgColor rgb="FFEAF2FF"/>
      </x:patternFill>
    </x:fill>
    <x:fill>
      <x:patternFill patternType="solid">
        <x:fgColor rgb="FFE8F5E9"/>
      </x:patternFill>
    </x:fill>
  </x:fills>
  <x:borders count="22">
    <x:border/>
    <x:border>
      <x:left style="thin">
        <x:color rgb="FFC7CDD4"/>
      </x:left>
      <x:top style="thin">
        <x:color rgb="FFC7CDD4"/>
      </x:top>
      <x:bottom style="thin">
        <x:color rgb="FFC7CDD4"/>
      </x:bottom>
    </x:border>
    <x:border>
      <x:top style="thin">
        <x:color rgb="FFC7CDD4"/>
      </x:top>
      <x:bottom style="thin">
        <x:color rgb="FFC7CDD4"/>
      </x:bottom>
    </x:border>
    <x:border>
      <x:right style="thin">
        <x:color rgb="FFC7CDD4"/>
      </x:right>
      <x:top style="thin">
        <x:color rgb="FFC7CDD4"/>
      </x:top>
      <x:bottom style="thin">
        <x:color rgb="FFC7CDD4"/>
      </x:bottom>
    </x:border>
    <x:border>
      <x:left style="thin">
        <x:color rgb="FFC7CDD4"/>
      </x:left>
      <x:right style="thin">
        <x:color rgb="FFC7CDD4"/>
      </x:right>
      <x:top style="thin">
        <x:color rgb="FFC7CDD4"/>
      </x:top>
      <x:bottom style="thin">
        <x:color rgb="FFC7CDD4"/>
      </x:bottom>
    </x:border>
    <x:border>
      <x:left style="thin">
        <x:color rgb="FFC7CDD4"/>
      </x:left>
      <x:bottom style="thin">
        <x:color rgb="FFE3E7EC"/>
      </x:bottom>
    </x:border>
    <x:border>
      <x:bottom style="thin">
        <x:color rgb="FFE3E7EC"/>
      </x:bottom>
    </x:border>
    <x:border>
      <x:right style="thin">
        <x:color rgb="FFC7CDD4"/>
      </x:right>
      <x:bottom style="thin">
        <x:color rgb="FFE3E7EC"/>
      </x:bottom>
    </x:border>
    <x:border>
      <x:left style="thin">
        <x:color rgb="FFC7CDD4"/>
      </x:left>
      <x:top style="thin">
        <x:color rgb="FFE3E7EC"/>
      </x:top>
      <x:bottom style="thin">
        <x:color rgb="FFE3E7EC"/>
      </x:bottom>
    </x:border>
    <x:border>
      <x:top style="thin">
        <x:color rgb="FFE3E7EC"/>
      </x:top>
      <x:bottom style="thin">
        <x:color rgb="FFE3E7EC"/>
      </x:bottom>
    </x:border>
    <x:border>
      <x:right style="thin">
        <x:color rgb="FFC7CDD4"/>
      </x:right>
      <x:top style="thin">
        <x:color rgb="FFE3E7EC"/>
      </x:top>
      <x:bottom style="thin">
        <x:color rgb="FFE3E7EC"/>
      </x:bottom>
    </x:border>
    <x:border>
      <x:left style="thin">
        <x:color rgb="FFC7CDD4"/>
      </x:left>
      <x:top style="thin">
        <x:color rgb="FFE3E7EC"/>
      </x:top>
      <x:bottom style="thin">
        <x:color rgb="FFC7CDD4"/>
      </x:bottom>
    </x:border>
    <x:border>
      <x:top style="thin">
        <x:color rgb="FFE3E7EC"/>
      </x:top>
      <x:bottom style="thin">
        <x:color rgb="FFC7CDD4"/>
      </x:bottom>
    </x:border>
    <x:border>
      <x:right style="thin">
        <x:color rgb="FFC7CDD4"/>
      </x:right>
      <x:top style="thin">
        <x:color rgb="FFE3E7EC"/>
      </x:top>
      <x:bottom style="thin">
        <x:color rgb="FFC7CDD4"/>
      </x:bottom>
    </x:border>
    <x:border>
      <x:left style="thin">
        <x:color rgb="FFC7CDD4"/>
      </x:left>
      <x:top style="thin">
        <x:color rgb="FFC7CDD4"/>
      </x:top>
    </x:border>
    <x:border>
      <x:top style="thin">
        <x:color rgb="FFC7CDD4"/>
      </x:top>
    </x:border>
    <x:border>
      <x:right style="thin">
        <x:color rgb="FFC7CDD4"/>
      </x:right>
      <x:top style="thin">
        <x:color rgb="FFC7CDD4"/>
      </x:top>
    </x:border>
    <x:border>
      <x:left style="thin">
        <x:color rgb="FFC7CDD4"/>
      </x:left>
    </x:border>
    <x:border>
      <x:right style="thin">
        <x:color rgb="FFC7CDD4"/>
      </x:right>
    </x:border>
    <x:border>
      <x:left style="thin">
        <x:color rgb="FFC7CDD4"/>
      </x:left>
      <x:bottom style="thin">
        <x:color rgb="FFC7CDD4"/>
      </x:bottom>
    </x:border>
    <x:border>
      <x:bottom style="thin">
        <x:color rgb="FFC7CDD4"/>
      </x:bottom>
    </x:border>
    <x:border>
      <x:right style="thin">
        <x:color rgb="FFC7CDD4"/>
      </x:right>
      <x:bottom style="thin">
        <x:color rgb="FFC7CDD4"/>
      </x:bottom>
    </x:border>
  </x:borders>
  <x:cellStyleXfs count="1">
    <x:xf numFmtId="0" fontId="0" fillId="0" borderId="0"/>
  </x:cellStyleXfs>
  <x:cellXfs count="1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4" fillId="7" borderId="12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horizontal="right" vertical="center"/>
    </x:xf>
    <x:xf numFmtId="0" fontId="4" fillId="6" borderId="9" xfId="0" applyNumberFormat="1" applyFont="1" applyFill="1" applyBorder="1" applyAlignment="1">
      <x:alignment horizontal="right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7" borderId="12" xfId="0" applyNumberFormat="1" applyFont="1" applyFill="1" applyBorder="1" applyAlignment="1">
      <x:alignment horizontal="right" vertical="center"/>
    </x:xf>
    <x:xf numFmtId="200" fontId="4" fillId="6" borderId="6" xfId="0" applyNumberFormat="1" applyFont="1" applyFill="1" applyBorder="1" applyAlignment="1">
      <x:alignment horizontal="right" vertical="center"/>
    </x:xf>
    <x:xf numFmtId="200" fontId="4" fillId="6" borderId="9" xfId="0" applyNumberFormat="1" applyFont="1" applyFill="1" applyBorder="1" applyAlignment="1">
      <x:alignment horizontal="right" vertical="center"/>
    </x:xf>
    <x:xf numFmtId="200" fontId="4" fillId="0" borderId="9" xfId="0" applyNumberFormat="1" applyFont="1" applyFill="1" applyBorder="1" applyAlignment="1">
      <x:alignment horizontal="right" vertical="center"/>
    </x:xf>
    <x:xf numFmtId="200" fontId="4" fillId="7" borderId="12" xfId="0" applyNumberFormat="1" applyFont="1" applyFill="1" applyBorder="1" applyAlignment="1">
      <x:alignment horizontal="right" vertical="center"/>
    </x:xf>
    <x:xf numFmtId="201" fontId="4" fillId="6" borderId="9" xfId="0" applyNumberFormat="1" applyFont="1" applyFill="1" applyBorder="1" applyAlignment="1">
      <x:alignment horizontal="right" vertical="center"/>
    </x:xf>
    <x:xf numFmtId="202" fontId="4" fillId="6" borderId="9" xfId="0" applyNumberFormat="1" applyFont="1" applyFill="1" applyBorder="1" applyAlignment="1">
      <x:alignment horizontal="right" vertical="center"/>
    </x:xf>
    <x:xf numFmtId="0" fontId="4" fillId="6" borderId="12" xfId="0" applyNumberFormat="1" applyFont="1" applyFill="1" applyBorder="1" applyAlignment="1">
      <x:alignment vertical="center"/>
    </x:xf>
    <x:xf numFmtId="200" fontId="4" fillId="6" borderId="6" xfId="0" applyNumberFormat="1" applyFont="1" applyFill="1" applyBorder="1" applyAlignment="1">
      <x:alignment vertical="center"/>
    </x:xf>
    <x:xf numFmtId="200" fontId="4" fillId="6" borderId="12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/>
    </x:xf>
    <x:xf numFmtId="0" fontId="4" fillId="7" borderId="7" xfId="0" applyNumberFormat="1" applyFont="1" applyFill="1" applyBorder="1" applyAlignment="1">
      <x:alignment vertical="center"/>
    </x:xf>
    <x:xf numFmtId="0" fontId="4" fillId="7" borderId="13" xfId="0" applyNumberFormat="1" applyFont="1" applyFill="1" applyBorder="1" applyAlignment="1">
      <x:alignment vertical="center"/>
    </x:xf>
    <x:xf numFmtId="200" fontId="4" fillId="7" borderId="6" xfId="0" applyNumberFormat="1" applyFont="1" applyFill="1" applyBorder="1" applyAlignment="1">
      <x:alignment vertical="center"/>
    </x:xf>
    <x:xf numFmtId="200" fontId="4" fillId="7" borderId="12" xfId="0" applyNumberFormat="1" applyFont="1" applyFill="1" applyBorder="1" applyAlignment="1">
      <x:alignment vertical="center"/>
    </x:xf>
    <x:xf numFmtId="203" fontId="4" fillId="7" borderId="6" xfId="0" applyNumberFormat="1" applyFont="1" applyFill="1" applyBorder="1" applyAlignment="1">
      <x:alignment vertical="center"/>
    </x:xf>
    <x:xf numFmtId="203" fontId="4" fillId="7" borderId="12" xfId="0" applyNumberFormat="1" applyFont="1" applyFill="1" applyBorder="1" applyAlignment="1">
      <x:alignment vertical="center"/>
    </x:xf>
    <x:xf numFmtId="204" fontId="4" fillId="7" borderId="6" xfId="0" applyNumberFormat="1" applyFont="1" applyFill="1" applyBorder="1" applyAlignment="1">
      <x:alignment vertical="center"/>
    </x:xf>
    <x:xf numFmtId="204" fontId="4" fillId="7" borderId="12" xfId="0" applyNumberFormat="1" applyFont="1" applyFill="1" applyBorder="1" applyAlignment="1">
      <x:alignment vertical="center"/>
    </x:xf>
    <x:xf numFmtId="204" fontId="4" fillId="7" borderId="7" xfId="0" applyNumberFormat="1" applyFont="1" applyFill="1" applyBorder="1" applyAlignment="1">
      <x:alignment vertical="center"/>
    </x:xf>
    <x:xf numFmtId="204" fontId="4" fillId="7" borderId="13" xfId="0" applyNumberFormat="1" applyFont="1" applyFill="1" applyBorder="1" applyAlignment="1">
      <x:alignment vertical="center"/>
    </x:xf>
    <x:xf numFmtId="205" fontId="4" fillId="7" borderId="6" xfId="0" applyNumberFormat="1" applyFont="1" applyFill="1" applyBorder="1" applyAlignment="1">
      <x:alignment vertical="center"/>
    </x:xf>
    <x:xf numFmtId="205" fontId="4" fillId="7" borderId="12" xfId="0" applyNumberFormat="1" applyFont="1" applyFill="1" applyBorder="1" applyAlignment="1">
      <x:alignment vertical="center"/>
    </x:xf>
    <x:xf numFmtId="206" fontId="4" fillId="7" borderId="6" xfId="0" applyNumberFormat="1" applyFont="1" applyFill="1" applyBorder="1" applyAlignment="1">
      <x:alignment vertical="center"/>
    </x:xf>
    <x:xf numFmtId="206" fontId="4" fillId="7" borderId="12" xfId="0" applyNumberFormat="1" applyFont="1" applyFill="1" applyBorder="1" applyAlignment="1">
      <x:alignment vertical="center"/>
    </x:xf>
    <x:xf numFmtId="207" fontId="4" fillId="7" borderId="6" xfId="0" applyNumberFormat="1" applyFont="1" applyFill="1" applyBorder="1" applyAlignment="1">
      <x:alignment vertical="center"/>
    </x:xf>
    <x:xf numFmtId="207" fontId="4" fillId="7" borderId="12" xfId="0" applyNumberFormat="1" applyFont="1" applyFill="1" applyBorder="1" applyAlignment="1">
      <x:alignment vertical="center"/>
    </x:xf>
    <x:xf numFmtId="0" fontId="3" fillId="7" borderId="7" xfId="0" applyNumberFormat="1" applyFont="1" applyFill="1" applyBorder="1" applyAlignment="1">
      <x:alignment vertical="center"/>
    </x:xf>
    <x:xf numFmtId="0" fontId="3" fillId="7" borderId="13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5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/>
    </x:xf>
    <x:xf numFmtId="0" fontId="4" fillId="8" borderId="7" xfId="0" applyNumberFormat="1" applyFont="1" applyFill="1" applyBorder="1" applyAlignment="1">
      <x:alignment vertical="center"/>
    </x:xf>
    <x:xf numFmtId="0" fontId="4" fillId="8" borderId="12" xfId="0" applyNumberFormat="1" applyFont="1" applyFill="1" applyBorder="1" applyAlignment="1">
      <x:alignment vertical="center"/>
    </x:xf>
    <x:xf numFmtId="0" fontId="4" fillId="8" borderId="13" xfId="0" applyNumberFormat="1" applyFont="1" applyFill="1" applyBorder="1" applyAlignment="1">
      <x:alignment vertical="center"/>
    </x:xf>
    <x:xf numFmtId="200" fontId="4" fillId="8" borderId="6" xfId="0" applyNumberFormat="1" applyFont="1" applyFill="1" applyBorder="1" applyAlignment="1">
      <x:alignment vertical="center"/>
    </x:xf>
    <x:xf numFmtId="200" fontId="4" fillId="8" borderId="12" xfId="0" applyNumberFormat="1" applyFont="1" applyFill="1" applyBorder="1" applyAlignment="1">
      <x:alignment vertical="center"/>
    </x:xf>
    <x:xf numFmtId="207" fontId="4" fillId="8" borderId="6" xfId="0" applyNumberFormat="1" applyFont="1" applyFill="1" applyBorder="1" applyAlignment="1">
      <x:alignment vertical="center"/>
    </x:xf>
    <x:xf numFmtId="207" fontId="4" fillId="8" borderId="12" xfId="0" applyNumberFormat="1" applyFont="1" applyFill="1" applyBorder="1" applyAlignment="1">
      <x:alignment vertical="center"/>
    </x:xf>
    <x:xf numFmtId="206" fontId="4" fillId="8" borderId="6" xfId="0" applyNumberFormat="1" applyFont="1" applyFill="1" applyBorder="1" applyAlignment="1">
      <x:alignment vertical="center"/>
    </x:xf>
    <x:xf numFmtId="206" fontId="4" fillId="8" borderId="12" xfId="0" applyNumberFormat="1" applyFont="1" applyFill="1" applyBorder="1" applyAlignment="1">
      <x:alignment vertical="center"/>
    </x:xf>
    <x:xf numFmtId="0" fontId="3" fillId="8" borderId="7" xfId="0" applyNumberFormat="1" applyFont="1" applyFill="1" applyBorder="1" applyAlignment="1">
      <x:alignment vertical="center"/>
    </x:xf>
    <x:xf numFmtId="0" fontId="3" fillId="8" borderId="13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8" borderId="14" xfId="0" applyNumberFormat="1" applyFont="1" applyFill="1" applyBorder="1" applyAlignment="1">
      <x:alignment vertical="center" wrapText="1"/>
    </x:xf>
    <x:xf numFmtId="0" fontId="0" fillId="8" borderId="17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37333"/>
      </x:font>
      <x:fill>
        <x:patternFill patternType="solid">
          <x:bgColor rgb="FFDCFCE7"/>
        </x:patternFill>
      </x:fill>
    </x:dxf>
    <x:dxf>
      <x:font>
        <x:b/>
        <x:color rgb="FFB3261E"/>
      </x:font>
      <x:fill>
        <x:patternFill patternType="solid">
          <x:bgColor rgb="FFFEE2E2"/>
        </x:patternFill>
      </x:fill>
    </x:dxf>
    <x:dxf>
      <x:font>
        <x:b/>
        <x:color rgb="FF137333"/>
      </x:font>
      <x:fill>
        <x:patternFill patternType="solid">
          <x:bgColor rgb="FFDCFCE7"/>
        </x:patternFill>
      </x:fill>
    </x:dxf>
    <x:dxf>
      <x:font>
        <x:b/>
        <x:color rgb="FFB3261E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97a6801fc4411" /><Relationship Type="http://schemas.openxmlformats.org/officeDocument/2006/relationships/theme" Target="/xl/theme/theme1.xml" Id="R84ef586ef37b4852" /><Relationship Type="http://schemas.openxmlformats.org/officeDocument/2006/relationships/sharedStrings" Target="/xl/sharedStrings.xml" Id="R2f275a42906844a5" /><Relationship Type="http://schemas.openxmlformats.org/officeDocument/2006/relationships/worksheet" Target="/xl/worksheets/sheet1.xml" Id="R96d495e8a0814bfb" /><Relationship Type="http://schemas.openxmlformats.org/officeDocument/2006/relationships/worksheet" Target="/xl/worksheets/sheet2.xml" Id="R9126b2b28fe2480d" /><Relationship Type="http://schemas.openxmlformats.org/officeDocument/2006/relationships/worksheet" Target="/xl/worksheets/sheet3.xml" Id="R879d80c86f9a44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648c4d475647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Static, Design, and MG996R Stall Torque (kgf·cm)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Static torque (kgf·cm)</c:v>
          </c:tx>
          <c:cat>
            <c:strRef>
              <c:f>'Design Summary'!$A$6:$A$7</c:f>
              <c:strCache>
                <c:ptCount val="0"/>
              </c:strCache>
            </c:strRef>
          </c:cat>
          <c:val>
            <c:numRef>
              <c:f>'Design Summary'!$B$6:$B$7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Required design torque (kgf·cm)</c:v>
          </c:tx>
          <c:cat>
            <c:strRef>
              <c:f>'Design Summary'!$A$6:$A$7</c:f>
              <c:strCache>
                <c:ptCount val="0"/>
              </c:strCache>
            </c:strRef>
          </c:cat>
          <c:val>
            <c:numRef>
              <c:f>'Design Summary'!$C$6:$C$7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MG996R stall torque (kgf·cm)</c:v>
          </c:tx>
          <c:cat>
            <c:strRef>
              <c:f>'Design Summary'!$A$6:$A$7</c:f>
              <c:strCache>
                <c:ptCount val="0"/>
              </c:strCache>
            </c:strRef>
          </c:cat>
          <c:val>
            <c:numRef>
              <c:f>'Design Summary'!$D$6:$D$7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648c4d475647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89791afab241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889999389648438" hidden="0" customWidth="1"/>
    <x:col min="3" max="3" width="21.110000610351562" hidden="0" customWidth="1"/>
    <x:col min="4" max="4" width="19.440000534057617" hidden="0" customWidth="1"/>
    <x:col min="5" max="5" width="13.890000343322754" hidden="0" customWidth="1"/>
    <x:col min="6" max="6" width="12.220000267028809" hidden="0" customWidth="1"/>
    <x:col min="7" max="7" width="12.220000267028809" hidden="0" customWidth="1"/>
  </x:cols>
  <x:sheetData>
    <x:row r="1" ht="25.5" customHeight="1">
      <x:c r="A1" s="3" t="str">
        <x:v>3DOF Robotic Arm — Torque &amp; Servo Sizing Analysis</x:v>
      </x:c>
    </x:row>
    <x:row r="2" ht="24" customHeight="1">
      <x:c r="A2" s="7" t="str">
        <x:v>Formula-driven engineering summary for the worst-case horizontal pose with a 10 g foam-ball payload and a 2.0× design safety factor.</x:v>
      </x:c>
    </x:row>
    <x:row r="4">
      <x:c r="A4" s="13" t="str">
        <x:v>Joint Sizing Results</x:v>
      </x:c>
      <x:c r="B4" s="14"/>
      <x:c r="C4" s="14"/>
      <x:c r="D4" s="14"/>
      <x:c r="E4" s="14"/>
      <x:c r="F4" s="14"/>
      <x:c r="G4" s="15"/>
    </x:row>
    <x:row r="5" ht="39" customHeight="1">
      <x:c r="A5" s="21" t="str">
        <x:v>Joint</x:v>
      </x:c>
      <x:c r="B5" s="21" t="str">
        <x:v>Static torque (kgf·cm)</x:v>
      </x:c>
      <x:c r="C5" s="21" t="str">
        <x:v>Required design torque (kgf·cm)</x:v>
      </x:c>
      <x:c r="D5" s="21" t="str">
        <x:v>MG996R stall torque (kgf·cm)</x:v>
      </x:c>
      <x:c r="E5" s="21" t="str">
        <x:v>Design utilization</x:v>
      </x:c>
      <x:c r="F5" s="21" t="str">
        <x:v>Margin ratio</x:v>
      </x:c>
      <x:c r="G5" s="21" t="str">
        <x:v>Status</x:v>
      </x:c>
    </x:row>
    <x:row r="6">
      <x:c r="A6" s="32" t="str">
        <x:v>Elbow</x:v>
      </x:c>
      <x:c r="B6" s="123" t="n">
        <x:f>'Torque Calculations'!C12</x:f>
        <x:v>1.9416326447869556</x:v>
      </x:c>
      <x:c r="C6" s="123" t="n">
        <x:f>'Torque Calculations'!F12</x:f>
        <x:v>3.8832652895739113</x:v>
      </x:c>
      <x:c r="D6" s="123" t="n">
        <x:f>'Torque Calculations'!G12</x:f>
        <x:v>11</x:v>
      </x:c>
      <x:c r="E6" s="125" t="n">
        <x:f>'Torque Calculations'!I12</x:f>
        <x:v>0.3530241172339919</x:v>
      </x:c>
      <x:c r="F6" s="127" t="n">
        <x:f>'Torque Calculations'!H12</x:f>
        <x:v>2.8326676597485227</x:v>
      </x:c>
      <x:c r="G6" s="129" t="str">
        <x:f>'Torque Calculations'!J12</x:f>
        <x:v>PASS</x:v>
      </x:c>
    </x:row>
    <x:row r="7">
      <x:c r="A7" s="38" t="str">
        <x:v>Shoulder</x:v>
      </x:c>
      <x:c r="B7" s="124" t="n">
        <x:f>'Torque Calculations'!C13</x:f>
        <x:v>3.822726566309597</x:v>
      </x:c>
      <x:c r="C7" s="124" t="n">
        <x:f>'Torque Calculations'!F13</x:f>
        <x:v>7.645453132619194</x:v>
      </x:c>
      <x:c r="D7" s="124" t="n">
        <x:f>'Torque Calculations'!G13</x:f>
        <x:v>11</x:v>
      </x:c>
      <x:c r="E7" s="126" t="n">
        <x:f>'Torque Calculations'!I13</x:f>
        <x:v>0.6950411938744722</x:v>
      </x:c>
      <x:c r="F7" s="128" t="n">
        <x:f>'Torque Calculations'!H13</x:f>
        <x:v>1.4387636428073425</x:v>
      </x:c>
      <x:c r="G7" s="130" t="str">
        <x:f>'Torque Calculations'!J13</x:f>
        <x:v>PASS</x:v>
      </x:c>
    </x:row>
    <x:row r="25">
      <x:c r="A25" s="13" t="str">
        <x:v>Engineering Interpretation</x:v>
      </x:c>
      <x:c r="B25" s="14"/>
      <x:c r="C25" s="14"/>
      <x:c r="D25" s="14"/>
      <x:c r="E25" s="14"/>
      <x:c r="F25" s="14"/>
      <x:c r="G25" s="15"/>
    </x:row>
    <x:row r="26" ht="31.5" customHeight="1">
      <x:c r="A26" s="132" t="str">
        <x:v>Limiting joint</x:v>
      </x:c>
      <x:c r="B26" s="160" t="str">
        <x:f>IF(E6&gt;E7,A6,A7)</x:f>
        <x:v>Shoulder</x:v>
      </x:c>
      <x:c r="C26" s="152"/>
      <x:c r="D26" s="152"/>
      <x:c r="E26" s="152"/>
      <x:c r="F26" s="152"/>
      <x:c r="G26" s="153"/>
    </x:row>
    <x:row r="27" ht="31.5" customHeight="1">
      <x:c r="A27" s="132" t="str">
        <x:v>Result</x:v>
      </x:c>
      <x:c r="B27" s="161" t="str">
        <x:f>"Shoulder design utilization is "&amp;TEXT(E7,"0.0%")&amp;" with a "&amp;TEXT(F7,"0.00x")&amp;" stall/design margin."</x:f>
        <x:v>Shoulder design utilization is 69.5% with a 1.44x stall/design margin.</x:v>
      </x:c>
      <x:c r="C27" s="155"/>
      <x:c r="D27" s="155"/>
      <x:c r="E27" s="155"/>
      <x:c r="F27" s="155"/>
      <x:c r="G27" s="156"/>
    </x:row>
    <x:row r="28" ht="31.5" customHeight="1">
      <x:c r="A28" s="132" t="str">
        <x:v>Servo conclusion</x:v>
      </x:c>
      <x:c r="B28" s="154" t="str">
        <x:v>Both joints pass the simplified stall-torque comparison for a 10 g payload at 6.0 V.</x:v>
      </x:c>
      <x:c r="C28" s="155"/>
      <x:c r="D28" s="155"/>
      <x:c r="E28" s="155"/>
      <x:c r="F28" s="155"/>
      <x:c r="G28" s="156"/>
    </x:row>
    <x:row r="29" ht="31.5" customHeight="1">
      <x:c r="A29" s="132" t="str">
        <x:v>Risk / limitation</x:v>
      </x:c>
      <x:c r="B29" s="154" t="str">
        <x:v>The shoulder has less reserve. MG996R torque is an advertised stall value, not a continuous holding rating.</x:v>
      </x:c>
      <x:c r="C29" s="155"/>
      <x:c r="D29" s="155"/>
      <x:c r="E29" s="155"/>
      <x:c r="F29" s="155"/>
      <x:c r="G29" s="156"/>
    </x:row>
    <x:row r="30" ht="31.5" customHeight="1">
      <x:c r="A30" s="132" t="str">
        <x:v>Recommendation</x:v>
      </x:c>
      <x:c r="B30" s="157" t="str">
        <x:v>Use a regulated 6 V supply, bench-test the arm horizontally, monitor heating/jitter, and add a counterbalance or stronger shoulder servo if needed.</x:v>
      </x:c>
      <x:c r="C30" s="158"/>
      <x:c r="D30" s="158"/>
      <x:c r="E30" s="158"/>
      <x:c r="F30" s="158"/>
      <x:c r="G30" s="159"/>
    </x:row>
    <x:row r="32">
      <x:c r="A32" s="13" t="str">
        <x:v>Validation Before Final Hardware Sign-Off</x:v>
      </x:c>
      <x:c r="B32" s="14"/>
      <x:c r="C32" s="14"/>
      <x:c r="D32" s="14"/>
      <x:c r="E32" s="14"/>
      <x:c r="F32" s="14"/>
      <x:c r="G32" s="15"/>
    </x:row>
    <x:row r="33" ht="28.5" customHeight="1">
      <x:c r="A33" s="163" t="str">
        <x:v>1</x:v>
      </x:c>
      <x:c r="B33" s="151" t="str">
        <x:v>Replace solid-PLA CAD masses with slicer-estimated masses after infill, wall count, and supports are chosen.</x:v>
      </x:c>
      <x:c r="C33" s="152"/>
      <x:c r="D33" s="152"/>
      <x:c r="E33" s="152"/>
      <x:c r="F33" s="152"/>
      <x:c r="G33" s="153"/>
    </x:row>
    <x:row r="34" ht="28.5" customHeight="1">
      <x:c r="A34" s="163" t="str">
        <x:v>2</x:v>
      </x:c>
      <x:c r="B34" s="154" t="str">
        <x:v>Weigh the actual foam ball and update the payload input.</x:v>
      </x:c>
      <x:c r="C34" s="155"/>
      <x:c r="D34" s="155"/>
      <x:c r="E34" s="155"/>
      <x:c r="F34" s="155"/>
      <x:c r="G34" s="156"/>
    </x:row>
    <x:row r="35" ht="28.5" customHeight="1">
      <x:c r="A35" s="163" t="str">
        <x:v>3</x:v>
      </x:c>
      <x:c r="B35" s="154" t="str">
        <x:v>Confirm the servo body mounting side for each joint so only truly moving mass is included.</x:v>
      </x:c>
      <x:c r="C35" s="155"/>
      <x:c r="D35" s="155"/>
      <x:c r="E35" s="155"/>
      <x:c r="F35" s="155"/>
      <x:c r="G35" s="156"/>
    </x:row>
    <x:row r="36" ht="28.5" customHeight="1">
      <x:c r="A36" s="163" t="str">
        <x:v>4</x:v>
      </x:c>
      <x:c r="B36" s="154" t="str">
        <x:v>Bench-test holding and slow motion in the worst-case horizontal pose using a current-limited 6 V supply.</x:v>
      </x:c>
      <x:c r="C36" s="155"/>
      <x:c r="D36" s="155"/>
      <x:c r="E36" s="155"/>
      <x:c r="F36" s="155"/>
      <x:c r="G36" s="156"/>
    </x:row>
    <x:row r="37" ht="28.5" customHeight="1">
      <x:c r="A37" s="163" t="str">
        <x:v>5</x:v>
      </x:c>
      <x:c r="B37" s="157" t="str">
        <x:v>Record measured current, position error, heating, and any deflection; revise the shoulder actuator if reserve is insufficient.</x:v>
      </x:c>
      <x:c r="C37" s="158"/>
      <x:c r="D37" s="158"/>
      <x:c r="E37" s="158"/>
      <x:c r="F37" s="158"/>
      <x:c r="G37" s="159"/>
    </x:row>
  </x:sheetData>
  <x:mergeCells>
    <x:mergeCell ref="A1:G1"/>
    <x:mergeCell ref="A2:G2"/>
    <x:mergeCell ref="A4:G4"/>
    <x:mergeCell ref="A25:G25"/>
    <x:mergeCell ref="B26:G26"/>
    <x:mergeCell ref="B27:G27"/>
    <x:mergeCell ref="B28:G28"/>
    <x:mergeCell ref="B29:G29"/>
    <x:mergeCell ref="B30:G30"/>
    <x:mergeCell ref="A32:G32"/>
    <x:mergeCell ref="B33:G33"/>
    <x:mergeCell ref="B34:G34"/>
    <x:mergeCell ref="B35:G35"/>
    <x:mergeCell ref="B36:G36"/>
    <x:mergeCell ref="B37:G37"/>
  </x:mergeCells>
  <x:conditionalFormatting sqref="G6:G7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  <x:drawing xmlns:r="http://schemas.openxmlformats.org/officeDocument/2006/relationships" r:id="R4b89791afab2414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.4399995803833" hidden="0" customWidth="1"/>
    <x:col min="3" max="3" width="14.4399995803833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7.219999313354492" hidden="0" customWidth="1"/>
    <x:col min="8" max="8" width="33.33000183105469" hidden="0" customWidth="1"/>
  </x:cols>
  <x:sheetData>
    <x:row r="1" ht="25.5" customHeight="1">
      <x:c r="A1" s="3" t="str">
        <x:v>3DOF Robotic Arm — Engineering Inputs &amp; Sources</x:v>
      </x:c>
    </x:row>
    <x:row r="2" ht="24" customHeight="1">
      <x:c r="A2" s="7" t="str">
        <x:v>Yellow cells are editable inputs. Blue cells are formulas. Measurements are from SolidWorks Mass Properties and the exported STEP assembly.</x:v>
      </x:c>
    </x:row>
    <x:row r="4">
      <x:c r="A4" s="13" t="str">
        <x:v>Global Assumptions and Servo Data</x:v>
      </x:c>
      <x:c r="B4" s="14"/>
      <x:c r="C4" s="14"/>
      <x:c r="D4" s="14"/>
      <x:c r="E4" s="14"/>
      <x:c r="F4" s="14"/>
      <x:c r="G4" s="14"/>
      <x:c r="H4" s="15"/>
    </x:row>
    <x:row r="5">
      <x:c r="A5" s="21" t="str">
        <x:v>Parameter</x:v>
      </x:c>
      <x:c r="B5" s="21" t="str">
        <x:v>Value</x:v>
      </x:c>
      <x:c r="C5" s="21" t="str">
        <x:v>Units</x:v>
      </x:c>
      <x:c r="D5" s="21" t="str">
        <x:v>Basis / source</x:v>
      </x:c>
      <x:c r="E5" s="21"/>
      <x:c r="F5" s="21"/>
      <x:c r="G5" s="21"/>
      <x:c r="H5" s="21"/>
    </x:row>
    <x:row r="6">
      <x:c r="A6" s="32" t="str">
        <x:v>Gravity</x:v>
      </x:c>
      <x:c r="B6" s="48" t="n">
        <x:v>9.81</x:v>
      </x:c>
      <x:c r="C6" s="33" t="str">
        <x:v>m/s²</x:v>
      </x:c>
      <x:c r="D6" s="33" t="str">
        <x:v>Standard gravitational acceleration</x:v>
      </x:c>
      <x:c r="E6" s="33"/>
      <x:c r="F6" s="33"/>
      <x:c r="G6" s="33"/>
      <x:c r="H6" s="34"/>
    </x:row>
    <x:row r="7">
      <x:c r="A7" s="35" t="str">
        <x:v>Design safety factor</x:v>
      </x:c>
      <x:c r="B7" s="49" t="n">
        <x:v>2</x:v>
      </x:c>
      <x:c r="C7" s="36" t="str">
        <x:v>×</x:v>
      </x:c>
      <x:c r="D7" s="36" t="str">
        <x:v>Applied to total static joint torque</x:v>
      </x:c>
      <x:c r="E7" s="36"/>
      <x:c r="F7" s="36"/>
      <x:c r="G7" s="36"/>
      <x:c r="H7" s="37"/>
    </x:row>
    <x:row r="8">
      <x:c r="A8" s="35" t="str">
        <x:v>Payload mass</x:v>
      </x:c>
      <x:c r="B8" s="49" t="n">
        <x:v>10</x:v>
      </x:c>
      <x:c r="C8" s="36" t="str">
        <x:v>g</x:v>
      </x:c>
      <x:c r="D8" s="36" t="str">
        <x:v>Conservative assumption for a foam ball ≤ 2 in diameter</x:v>
      </x:c>
      <x:c r="E8" s="36"/>
      <x:c r="F8" s="36"/>
      <x:c r="G8" s="36"/>
      <x:c r="H8" s="37"/>
    </x:row>
    <x:row r="9">
      <x:c r="A9" s="35" t="str">
        <x:v>kgf·cm to N·m conversion</x:v>
      </x:c>
      <x:c r="B9" s="52" t="n">
        <x:v>0.0980665</x:v>
      </x:c>
      <x:c r="C9" s="36" t="str">
        <x:v>N·m per kgf·cm</x:v>
      </x:c>
      <x:c r="D9" s="36" t="str">
        <x:v>1 kgf·cm = 0.0980665 N·m</x:v>
      </x:c>
      <x:c r="E9" s="36"/>
      <x:c r="F9" s="36"/>
      <x:c r="G9" s="36"/>
      <x:c r="H9" s="37"/>
    </x:row>
    <x:row r="10">
      <x:c r="A10" s="35" t="str">
        <x:v>PLA density used in CAD</x:v>
      </x:c>
      <x:c r="B10" s="53" t="n">
        <x:v>1240</x:v>
      </x:c>
      <x:c r="C10" s="36" t="str">
        <x:v>kg/m³</x:v>
      </x:c>
      <x:c r="D10" s="36" t="str">
        <x:v>Solid PLA model; replace with slicer mass after infill is chosen</x:v>
      </x:c>
      <x:c r="E10" s="36"/>
      <x:c r="F10" s="36"/>
      <x:c r="G10" s="36"/>
      <x:c r="H10" s="37"/>
    </x:row>
    <x:row r="11">
      <x:c r="A11" s="35" t="str">
        <x:v>Selected servo supply voltage</x:v>
      </x:c>
      <x:c r="B11" s="49" t="n">
        <x:v>6</x:v>
      </x:c>
      <x:c r="C11" s="36" t="str">
        <x:v>V</x:v>
      </x:c>
      <x:c r="D11" s="36" t="str">
        <x:v>Planned regulated servo supply</x:v>
      </x:c>
      <x:c r="E11" s="36"/>
      <x:c r="F11" s="36"/>
      <x:c r="G11" s="36"/>
      <x:c r="H11" s="37"/>
    </x:row>
    <x:row r="12">
      <x:c r="A12" s="35" t="str">
        <x:v>MG996R stall torque @ 4.8 V</x:v>
      </x:c>
      <x:c r="B12" s="49" t="n">
        <x:v>9.4</x:v>
      </x:c>
      <x:c r="C12" s="36" t="str">
        <x:v>kgf·cm</x:v>
      </x:c>
      <x:c r="D12" s="36" t="str">
        <x:v>TowerPro official MG996R specification</x:v>
      </x:c>
      <x:c r="E12" s="36"/>
      <x:c r="F12" s="36"/>
      <x:c r="G12" s="36"/>
      <x:c r="H12" s="37"/>
    </x:row>
    <x:row r="13">
      <x:c r="A13" s="35" t="str">
        <x:v>MG996R stall torque @ 6.0 V</x:v>
      </x:c>
      <x:c r="B13" s="50" t="n">
        <x:v>11</x:v>
      </x:c>
      <x:c r="C13" s="36" t="str">
        <x:v>kgf·cm</x:v>
      </x:c>
      <x:c r="D13" s="36" t="str">
        <x:v>TowerPro official MG996R specification</x:v>
      </x:c>
      <x:c r="E13" s="36"/>
      <x:c r="F13" s="36"/>
      <x:c r="G13" s="36"/>
      <x:c r="H13" s="37"/>
    </x:row>
    <x:row r="14">
      <x:c r="A14" s="38" t="str">
        <x:v>Selected MG996R stall torque</x:v>
      </x:c>
      <x:c r="B14" s="51" t="n">
        <x:f>IF(B11=4.8,B12,IF(B11=6,B13,NA()))</x:f>
        <x:v>11</x:v>
      </x:c>
      <x:c r="C14" s="39" t="str">
        <x:v>kgf·cm</x:v>
      </x:c>
      <x:c r="D14" s="39" t="str">
        <x:v>Formula selects the rating for the chosen supply voltage</x:v>
      </x:c>
      <x:c r="E14" s="39"/>
      <x:c r="F14" s="39"/>
      <x:c r="G14" s="39"/>
      <x:c r="H14" s="40"/>
    </x:row>
    <x:row r="16">
      <x:c r="A16" s="13" t="str">
        <x:v>Joint Inputs from SolidWorks and STEP Geometry</x:v>
      </x:c>
      <x:c r="B16" s="14"/>
      <x:c r="C16" s="14"/>
      <x:c r="D16" s="14"/>
      <x:c r="E16" s="14"/>
      <x:c r="F16" s="14"/>
      <x:c r="G16" s="14"/>
      <x:c r="H16" s="15"/>
    </x:row>
    <x:row r="17" ht="31.5" customHeight="1">
      <x:c r="A17" s="21" t="str">
        <x:v>Joint</x:v>
      </x:c>
      <x:c r="B17" s="21" t="str">
        <x:v>Moving mass (g)</x:v>
      </x:c>
      <x:c r="C17" s="21" t="str">
        <x:v>COM X (mm)</x:v>
      </x:c>
      <x:c r="D17" s="21" t="str">
        <x:v>COM Y (mm)</x:v>
      </x:c>
      <x:c r="E17" s="21" t="str">
        <x:v>COM Z (mm)</x:v>
      </x:c>
      <x:c r="F17" s="21" t="str">
        <x:v>COM radius (mm)</x:v>
      </x:c>
      <x:c r="G17" s="21" t="str">
        <x:v>Payload radius (mm)</x:v>
      </x:c>
      <x:c r="H17" s="21" t="str">
        <x:v>Measurement basis</x:v>
      </x:c>
    </x:row>
    <x:row r="18" ht="28.5" customHeight="1">
      <x:c r="A18" s="32" t="str">
        <x:v>Elbow</x:v>
      </x:c>
      <x:c r="B18" s="55" t="n">
        <x:v>217.6</x:v>
      </x:c>
      <x:c r="C18" s="55" t="n">
        <x:v>481.27</x:v>
      </x:c>
      <x:c r="D18" s="55" t="n">
        <x:v>724.78</x:v>
      </x:c>
      <x:c r="E18" s="55" t="n">
        <x:v>1443.91</x:v>
      </x:c>
      <x:c r="F18" s="55" t="n">
        <x:v>76.46</x:v>
      </x:c>
      <x:c r="G18" s="55" t="n">
        <x:v>277.2</x:v>
      </x:c>
      <x:c r="H18" s="57" t="str">
        <x:v>Elbow-only component selection; payload radius to jaw-tip center</x:v>
      </x:c>
    </x:row>
    <x:row r="19" ht="28.5" customHeight="1">
      <x:c r="A19" s="38" t="str">
        <x:v>Shoulder</x:v>
      </x:c>
      <x:c r="B19" s="56" t="n">
        <x:v>297.31</x:v>
      </x:c>
      <x:c r="C19" s="56" t="n">
        <x:v>512.58</x:v>
      </x:c>
      <x:c r="D19" s="56" t="n">
        <x:v>740.98</x:v>
      </x:c>
      <x:c r="E19" s="56" t="n">
        <x:v>1432.66</x:v>
      </x:c>
      <x:c r="F19" s="56" t="n">
        <x:v>116.65</x:v>
      </x:c>
      <x:c r="G19" s="56" t="n">
        <x:v>353.3</x:v>
      </x:c>
      <x:c r="H19" s="58" t="str">
        <x:v>Link 1 plus elbow-moving assembly; payload radius to jaw-tip center</x:v>
      </x:c>
    </x:row>
    <x:row r="21">
      <x:c r="A21" s="13" t="str">
        <x:v>Documentation, Provenance, and Engineering Limitations</x:v>
      </x:c>
      <x:c r="B21" s="14"/>
      <x:c r="C21" s="14"/>
      <x:c r="D21" s="14"/>
      <x:c r="E21" s="14"/>
      <x:c r="F21" s="14"/>
      <x:c r="G21" s="14"/>
      <x:c r="H21" s="15"/>
    </x:row>
    <x:row r="22" ht="28.5" customHeight="1">
      <x:c r="A22" s="21" t="str">
        <x:v>Item</x:v>
      </x:c>
      <x:c r="B22" s="21" t="str">
        <x:v>Source / value</x:v>
      </x:c>
      <x:c r="C22" s="21"/>
      <x:c r="D22" s="21" t="str">
        <x:v>Why it matters</x:v>
      </x:c>
      <x:c r="E22" s="21"/>
      <x:c r="F22" s="21"/>
      <x:c r="G22" s="21" t="str">
        <x:v>URL or file</x:v>
      </x:c>
      <x:c r="H22" s="21"/>
    </x:row>
    <x:row r="23" ht="40.5" customHeight="1">
      <x:c r="A23" s="32" t="str">
        <x:v>SolidWorks mass properties</x:v>
      </x:c>
      <x:c r="B23" s="59" t="str">
        <x:v>2025 Design Help</x:v>
      </x:c>
      <x:c r="C23" s="59"/>
      <x:c r="D23" s="59" t="str">
        <x:v>Documents selected-component mass and center-of-mass reporting</x:v>
      </x:c>
      <x:c r="E23" s="59"/>
      <x:c r="F23" s="59"/>
      <x:c r="G23" s="59" t="str">
        <x:v>https://help.solidworks.com/2025/English/SolidWorks/sldworks/HIDD_MASSPROPERTY_TEXT_DLG.htm</x:v>
      </x:c>
      <x:c r="H23" s="57"/>
    </x:row>
    <x:row r="24" ht="40.5" customHeight="1">
      <x:c r="A24" s="35" t="str">
        <x:v>MG996R specification</x:v>
      </x:c>
      <x:c r="B24" s="60" t="str">
        <x:v>55 g; 9.4 kgf·cm @ 4.8 V; 11 kgf·cm @ 6.0 V</x:v>
      </x:c>
      <x:c r="C24" s="60"/>
      <x:c r="D24" s="60" t="str">
        <x:v>Servo sizing comparison uses the manufacturer stall rating</x:v>
      </x:c>
      <x:c r="E24" s="60"/>
      <x:c r="F24" s="60"/>
      <x:c r="G24" s="60" t="str">
        <x:v>https://towerpro.com.tw/product/mg996r/</x:v>
      </x:c>
      <x:c r="H24" s="61"/>
    </x:row>
    <x:row r="25" ht="40.5" customHeight="1">
      <x:c r="A25" s="35" t="str">
        <x:v>CAD assembly</x:v>
      </x:c>
      <x:c r="B25" s="60" t="str">
        <x:v>RobotArmAssembly.STEP</x:v>
      </x:c>
      <x:c r="C25" s="60"/>
      <x:c r="D25" s="60" t="str">
        <x:v>Joint axes and conservative jaw-tip payload radii</x:v>
      </x:c>
      <x:c r="E25" s="60"/>
      <x:c r="F25" s="60"/>
      <x:c r="G25" s="60" t="str">
        <x:v>Exported from SolidWorks 2025 on 2026-07-22</x:v>
      </x:c>
      <x:c r="H25" s="61"/>
    </x:row>
    <x:row r="26" ht="48" customHeight="1">
      <x:c r="A26" s="35" t="str">
        <x:v>Printed-part mass caveat</x:v>
      </x:c>
      <x:c r="B26" s="60" t="str">
        <x:v>CAD currently uses solid PLA density</x:v>
      </x:c>
      <x:c r="C26" s="60"/>
      <x:c r="D26" s="60" t="str">
        <x:v>Slicer estimates should replace CAD masses after infill, walls, and supports are finalized</x:v>
      </x:c>
      <x:c r="E26" s="60"/>
      <x:c r="F26" s="60"/>
      <x:c r="G26" s="60" t="str">
        <x:v>Validation item</x:v>
      </x:c>
      <x:c r="H26" s="61"/>
    </x:row>
    <x:row r="27" ht="48" customHeight="1">
      <x:c r="A27" s="35" t="str">
        <x:v>Servo torque caveat</x:v>
      </x:c>
      <x:c r="B27" s="60" t="str">
        <x:v>Advertised torque is stall torque, not continuous-duty torque</x:v>
      </x:c>
      <x:c r="C27" s="60"/>
      <x:c r="D27" s="60" t="str">
        <x:v>Bench testing and thermal monitoring are required before sustained holding</x:v>
      </x:c>
      <x:c r="E27" s="60"/>
      <x:c r="F27" s="60"/>
      <x:c r="G27" s="60" t="str">
        <x:v>Validation item</x:v>
      </x:c>
      <x:c r="H27" s="61"/>
    </x:row>
    <x:row r="28" ht="48" customHeight="1">
      <x:c r="A28" s="38" t="str">
        <x:v>Payload assumption</x:v>
      </x:c>
      <x:c r="B28" s="62" t="str">
        <x:v>10 g foam ball, ≤ 2 in diameter</x:v>
      </x:c>
      <x:c r="C28" s="62"/>
      <x:c r="D28" s="62" t="str">
        <x:v>Editable assumption; weigh the actual ball before final validation</x:v>
      </x:c>
      <x:c r="E28" s="62"/>
      <x:c r="F28" s="62"/>
      <x:c r="G28" s="62" t="str">
        <x:v>User-defined design target</x:v>
      </x:c>
      <x:c r="H28" s="58"/>
    </x:row>
  </x:sheetData>
  <x:mergeCells>
    <x:mergeCell ref="A1:H1"/>
    <x:mergeCell ref="A2:H2"/>
    <x:mergeCell ref="A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D13:H13"/>
    <x:mergeCell ref="D14:H14"/>
    <x:mergeCell ref="A16:H16"/>
    <x:mergeCell ref="A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7.219999313354492" hidden="0" customWidth="1"/>
    <x:col min="3" max="3" width="16.67000007629394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</x:cols>
  <x:sheetData>
    <x:row r="1" ht="25.5" customHeight="1">
      <x:c r="A1" s="3" t="str">
        <x:v>Joint Torque Calculations</x:v>
      </x:c>
    </x:row>
    <x:row r="2" ht="24" customHeight="1">
      <x:c r="A2" s="7" t="str">
        <x:v>Worst-case static pose: arm extended horizontally. Every derived number below is formula-driven from the Inputs &amp; Sources tab.</x:v>
      </x:c>
    </x:row>
    <x:row r="4">
      <x:c r="A4" s="13" t="str">
        <x:v>1. Static Torque Components</x:v>
      </x:c>
      <x:c r="B4" s="14"/>
      <x:c r="C4" s="14"/>
      <x:c r="D4" s="14"/>
      <x:c r="E4" s="14"/>
      <x:c r="F4" s="14"/>
      <x:c r="G4" s="14"/>
      <x:c r="H4" s="14"/>
      <x:c r="I4" s="14"/>
      <x:c r="J4" s="15"/>
    </x:row>
    <x:row r="5" ht="40.5" customHeight="1">
      <x:c r="A5" s="21" t="str">
        <x:v>Joint</x:v>
      </x:c>
      <x:c r="B5" s="21" t="str">
        <x:v>Moving mass (g)</x:v>
      </x:c>
      <x:c r="C5" s="21" t="str">
        <x:v>Mass (kg)</x:v>
      </x:c>
      <x:c r="D5" s="21" t="str">
        <x:v>COM radius (mm)</x:v>
      </x:c>
      <x:c r="E5" s="21" t="str">
        <x:v>COM radius (m)</x:v>
      </x:c>
      <x:c r="F5" s="21" t="str">
        <x:v>Arm torque (N·m)</x:v>
      </x:c>
      <x:c r="G5" s="21" t="str">
        <x:v>Payload (g)</x:v>
      </x:c>
      <x:c r="H5" s="21" t="str">
        <x:v>Payload (kg)</x:v>
      </x:c>
      <x:c r="I5" s="21" t="str">
        <x:v>Payload radius (mm)</x:v>
      </x:c>
      <x:c r="J5" s="21" t="str">
        <x:v>Payload torque (N·m)</x:v>
      </x:c>
    </x:row>
    <x:row r="6">
      <x:c r="A6" s="32" t="str">
        <x:v>Elbow</x:v>
      </x:c>
      <x:c r="B6" s="66" t="n">
        <x:f>'Inputs &amp; Sources'!B18</x:f>
        <x:v>217.6</x:v>
      </x:c>
      <x:c r="C6" s="68" t="n">
        <x:f>B6/1000</x:f>
        <x:v>0.2176</x:v>
      </x:c>
      <x:c r="D6" s="66" t="n">
        <x:f>'Inputs &amp; Sources'!F18</x:f>
        <x:v>76.46</x:v>
      </x:c>
      <x:c r="E6" s="68" t="n">
        <x:f>D6/1000</x:f>
        <x:v>0.07646</x:v>
      </x:c>
      <x:c r="F6" s="70" t="n">
        <x:f>C6*'Inputs &amp; Sources'!$B$6*E6</x:f>
        <x:v>0.16321579776</x:v>
      </x:c>
      <x:c r="G6" s="66" t="n">
        <x:f>'Inputs &amp; Sources'!$B$8</x:f>
        <x:v>10</x:v>
      </x:c>
      <x:c r="H6" s="68" t="n">
        <x:f>G6/1000</x:f>
        <x:v>0.01</x:v>
      </x:c>
      <x:c r="I6" s="66" t="n">
        <x:f>'Inputs &amp; Sources'!G18</x:f>
        <x:v>277.2</x:v>
      </x:c>
      <x:c r="J6" s="72" t="n">
        <x:f>H6*'Inputs &amp; Sources'!$B$6*(I6/1000)</x:f>
        <x:v>0.027193320000000003</x:v>
      </x:c>
    </x:row>
    <x:row r="7">
      <x:c r="A7" s="38" t="str">
        <x:v>Shoulder</x:v>
      </x:c>
      <x:c r="B7" s="67" t="n">
        <x:f>'Inputs &amp; Sources'!B19</x:f>
        <x:v>297.31</x:v>
      </x:c>
      <x:c r="C7" s="69" t="n">
        <x:f>B7/1000</x:f>
        <x:v>0.29731</x:v>
      </x:c>
      <x:c r="D7" s="67" t="n">
        <x:f>'Inputs &amp; Sources'!F19</x:f>
        <x:v>116.65</x:v>
      </x:c>
      <x:c r="E7" s="69" t="n">
        <x:f>D7/1000</x:f>
        <x:v>0.11665</x:v>
      </x:c>
      <x:c r="F7" s="71" t="n">
        <x:f>C7*'Inputs &amp; Sources'!$B$6*E7</x:f>
        <x:v>0.34022268481500006</x:v>
      </x:c>
      <x:c r="G7" s="67" t="n">
        <x:f>'Inputs &amp; Sources'!$B$8</x:f>
        <x:v>10</x:v>
      </x:c>
      <x:c r="H7" s="69" t="n">
        <x:f>G7/1000</x:f>
        <x:v>0.01</x:v>
      </x:c>
      <x:c r="I7" s="67" t="n">
        <x:f>'Inputs &amp; Sources'!G19</x:f>
        <x:v>353.3</x:v>
      </x:c>
      <x:c r="J7" s="73" t="n">
        <x:f>H7*'Inputs &amp; Sources'!$B$6*(I7/1000)</x:f>
        <x:v>0.034658730000000006</x:v>
      </x:c>
    </x:row>
    <x:row r="10">
      <x:c r="A10" s="13" t="str">
        <x:v>2. Safety Factor and Servo Capacity Check</x:v>
      </x:c>
      <x:c r="B10" s="14"/>
      <x:c r="C10" s="14"/>
      <x:c r="D10" s="14"/>
      <x:c r="E10" s="14"/>
      <x:c r="F10" s="14"/>
      <x:c r="G10" s="14"/>
      <x:c r="H10" s="14"/>
      <x:c r="I10" s="14"/>
      <x:c r="J10" s="15"/>
    </x:row>
    <x:row r="11" ht="48" customHeight="1">
      <x:c r="A11" s="21" t="str">
        <x:v>Joint</x:v>
      </x:c>
      <x:c r="B11" s="21" t="str">
        <x:v>Total static torque (N·m)</x:v>
      </x:c>
      <x:c r="C11" s="21" t="str">
        <x:v>Static torque (kgf·cm)</x:v>
      </x:c>
      <x:c r="D11" s="21" t="str">
        <x:v>Safety factor</x:v>
      </x:c>
      <x:c r="E11" s="21" t="str">
        <x:v>Required design torque (N·m)</x:v>
      </x:c>
      <x:c r="F11" s="21" t="str">
        <x:v>Required design torque (kgf·cm)</x:v>
      </x:c>
      <x:c r="G11" s="21" t="str">
        <x:v>MG996R stall torque (kgf·cm)</x:v>
      </x:c>
      <x:c r="H11" s="21" t="str">
        <x:v>Stall/design margin ratio</x:v>
      </x:c>
      <x:c r="I11" s="21" t="str">
        <x:v>Design utilization</x:v>
      </x:c>
      <x:c r="J11" s="21" t="str">
        <x:v>Status</x:v>
      </x:c>
    </x:row>
    <x:row r="12">
      <x:c r="A12" s="32" t="str">
        <x:v>Elbow</x:v>
      </x:c>
      <x:c r="B12" s="70" t="n">
        <x:f>F6+J6</x:f>
        <x:v>0.19040911776</x:v>
      </x:c>
      <x:c r="C12" s="66" t="n">
        <x:f>B12/'Inputs &amp; Sources'!$B$9</x:f>
        <x:v>1.9416326447869556</x:v>
      </x:c>
      <x:c r="D12" s="74" t="n">
        <x:f>'Inputs &amp; Sources'!$B$7</x:f>
        <x:v>2</x:v>
      </x:c>
      <x:c r="E12" s="70" t="n">
        <x:f>B12*D12</x:f>
        <x:v>0.38081823552</x:v>
      </x:c>
      <x:c r="F12" s="66" t="n">
        <x:f>E12/'Inputs &amp; Sources'!$B$9</x:f>
        <x:v>3.8832652895739113</x:v>
      </x:c>
      <x:c r="G12" s="66" t="n">
        <x:f>'Inputs &amp; Sources'!$B$14</x:f>
        <x:v>11</x:v>
      </x:c>
      <x:c r="H12" s="76" t="n">
        <x:f>G12/F12</x:f>
        <x:v>2.8326676597485227</x:v>
      </x:c>
      <x:c r="I12" s="78" t="n">
        <x:f>F12/G12</x:f>
        <x:v>0.3530241172339919</x:v>
      </x:c>
      <x:c r="J12" s="80" t="str">
        <x:f>IF(H12&gt;=1,"PASS","FAIL")</x:f>
        <x:v>PASS</x:v>
      </x:c>
    </x:row>
    <x:row r="13">
      <x:c r="A13" s="38" t="str">
        <x:v>Shoulder</x:v>
      </x:c>
      <x:c r="B13" s="71" t="n">
        <x:f>F7+J7</x:f>
        <x:v>0.3748814148150001</x:v>
      </x:c>
      <x:c r="C13" s="67" t="n">
        <x:f>B13/'Inputs &amp; Sources'!$B$9</x:f>
        <x:v>3.822726566309597</x:v>
      </x:c>
      <x:c r="D13" s="75" t="n">
        <x:f>'Inputs &amp; Sources'!$B$7</x:f>
        <x:v>2</x:v>
      </x:c>
      <x:c r="E13" s="71" t="n">
        <x:f>B13*D13</x:f>
        <x:v>0.7497628296300002</x:v>
      </x:c>
      <x:c r="F13" s="67" t="n">
        <x:f>E13/'Inputs &amp; Sources'!$B$9</x:f>
        <x:v>7.645453132619194</x:v>
      </x:c>
      <x:c r="G13" s="67" t="n">
        <x:f>'Inputs &amp; Sources'!$B$14</x:f>
        <x:v>11</x:v>
      </x:c>
      <x:c r="H13" s="77" t="n">
        <x:f>G13/F13</x:f>
        <x:v>1.4387636428073425</x:v>
      </x:c>
      <x:c r="I13" s="79" t="n">
        <x:f>F13/G13</x:f>
        <x:v>0.6950411938744722</x:v>
      </x:c>
      <x:c r="J13" s="81" t="str">
        <x:f>IF(H13&gt;=1,"PASS","FAIL")</x:f>
        <x:v>PASS</x:v>
      </x:c>
    </x:row>
    <x:row r="16">
      <x:c r="A16" s="13" t="str">
        <x:v>Formula Audit Trail</x:v>
      </x:c>
      <x:c r="B16" s="14"/>
      <x:c r="C16" s="14"/>
      <x:c r="D16" s="14"/>
      <x:c r="E16" s="14"/>
      <x:c r="F16" s="14"/>
      <x:c r="G16" s="14"/>
      <x:c r="H16" s="14"/>
      <x:c r="I16" s="14"/>
      <x:c r="J16" s="15"/>
    </x:row>
    <x:row r="17" ht="25.5" customHeight="1">
      <x:c r="A17" s="21" t="str">
        <x:v>Calculation</x:v>
      </x:c>
      <x:c r="B17" s="21"/>
      <x:c r="C17" s="21" t="str">
        <x:v>Formula</x:v>
      </x:c>
      <x:c r="D17" s="21"/>
      <x:c r="E17" s="21"/>
      <x:c r="F17" s="21"/>
      <x:c r="G17" s="21" t="str">
        <x:v>Interpretation</x:v>
      </x:c>
      <x:c r="H17" s="21"/>
      <x:c r="I17" s="21"/>
      <x:c r="J17" s="21"/>
    </x:row>
    <x:row r="18" ht="42" customHeight="1">
      <x:c r="A18" s="107" t="str">
        <x:v>Arm gravity torque</x:v>
      </x:c>
      <x:c r="B18" s="108"/>
      <x:c r="C18" s="109" t="str">
        <x:v>τ_arm = (m_arm / 1000) × g × (r_COM / 1000)</x:v>
      </x:c>
      <x:c r="D18" s="109"/>
      <x:c r="E18" s="109"/>
      <x:c r="F18" s="109"/>
      <x:c r="G18" s="108" t="str">
        <x:v>Moving-link mass acting at the selected components’ center of mass</x:v>
      </x:c>
      <x:c r="H18" s="108"/>
      <x:c r="I18" s="108"/>
      <x:c r="J18" s="110"/>
    </x:row>
    <x:row r="19" ht="42" customHeight="1">
      <x:c r="A19" s="111" t="str">
        <x:v>Payload gravity torque</x:v>
      </x:c>
      <x:c r="B19" s="112"/>
      <x:c r="C19" s="113" t="str">
        <x:v>τ_payload = (m_payload / 1000) × g × (r_payload / 1000)</x:v>
      </x:c>
      <x:c r="D19" s="113"/>
      <x:c r="E19" s="113"/>
      <x:c r="F19" s="113"/>
      <x:c r="G19" s="112" t="str">
        <x:v>Ball treated as a point mass at the conservative jaw-tip center</x:v>
      </x:c>
      <x:c r="H19" s="112"/>
      <x:c r="I19" s="112"/>
      <x:c r="J19" s="114"/>
    </x:row>
    <x:row r="20" ht="42" customHeight="1">
      <x:c r="A20" s="111" t="str">
        <x:v>Required design torque</x:v>
      </x:c>
      <x:c r="B20" s="112"/>
      <x:c r="C20" s="113" t="str">
        <x:v>τ_design = (τ_arm + τ_payload) × safety factor</x:v>
      </x:c>
      <x:c r="D20" s="113"/>
      <x:c r="E20" s="113"/>
      <x:c r="F20" s="113"/>
      <x:c r="G20" s="112" t="str">
        <x:v>Safety factor is applied after combining arm and payload torque</x:v>
      </x:c>
      <x:c r="H20" s="112"/>
      <x:c r="I20" s="112"/>
      <x:c r="J20" s="114"/>
    </x:row>
    <x:row r="21" ht="42" customHeight="1">
      <x:c r="A21" s="115" t="str">
        <x:v>Capacity check</x:v>
      </x:c>
      <x:c r="B21" s="116"/>
      <x:c r="C21" s="117" t="str">
        <x:v>Margin ratio = advertised stall torque / required design torque</x:v>
      </x:c>
      <x:c r="D21" s="117"/>
      <x:c r="E21" s="117"/>
      <x:c r="F21" s="117"/>
      <x:c r="G21" s="116" t="str">
        <x:v>A ratio ≥ 1 passes the simplified stall-torque check; bench validation is still required</x:v>
      </x:c>
      <x:c r="H21" s="116"/>
      <x:c r="I21" s="116"/>
      <x:c r="J21" s="118"/>
    </x:row>
  </x:sheetData>
  <x:mergeCells>
    <x:mergeCell ref="A1:J1"/>
    <x:mergeCell ref="A2:J2"/>
    <x:mergeCell ref="A4:J4"/>
    <x:mergeCell ref="A10:J10"/>
    <x:mergeCell ref="A16:J16"/>
    <x:mergeCell ref="A17:B17"/>
    <x:mergeCell ref="C17:F17"/>
    <x:mergeCell ref="G17:J17"/>
    <x:mergeCell ref="A18:B18"/>
    <x:mergeCell ref="C18:F18"/>
    <x:mergeCell ref="G18:J18"/>
    <x:mergeCell ref="A19:B19"/>
    <x:mergeCell ref="C19:F19"/>
    <x:mergeCell ref="G19:J19"/>
    <x:mergeCell ref="A20:B20"/>
    <x:mergeCell ref="C20:F20"/>
    <x:mergeCell ref="G20:J20"/>
    <x:mergeCell ref="A21:B21"/>
    <x:mergeCell ref="C21:F21"/>
    <x:mergeCell ref="G21:J21"/>
  </x:mergeCells>
  <x:conditionalFormatting sqref="J12:J13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